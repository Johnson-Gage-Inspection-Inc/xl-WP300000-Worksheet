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jgiquality-my.sharepoint.com/personal/johnny_jgiquality_com/Documents/Documents/Quality/Conductivity/"/>
    </mc:Choice>
  </mc:AlternateContent>
  <xr:revisionPtr revIDLastSave="0" documentId="8_{A16C7533-59A7-4CA8-8467-0CC7E73E0D5C}" xr6:coauthVersionLast="47" xr6:coauthVersionMax="47" xr10:uidLastSave="{00000000-0000-0000-0000-000000000000}"/>
  <bookViews>
    <workbookView xWindow="-108" yWindow="-108" windowWidth="23256" windowHeight="13896" xr2:uid="{5500CE3F-099B-43B6-BA0F-375095D9EA11}"/>
  </bookViews>
  <sheets>
    <sheet name="Worksheet" sheetId="1" r:id="rId1"/>
    <sheet name="uncertainty" sheetId="3" r:id="rId2"/>
    <sheet name="Software Validation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3" i="1" l="1"/>
  <c r="M82" i="1"/>
  <c r="M81" i="1"/>
  <c r="M80" i="1"/>
  <c r="M79" i="1"/>
  <c r="M78" i="1"/>
  <c r="M77" i="1"/>
  <c r="J43" i="1"/>
  <c r="K43" i="1"/>
  <c r="L43" i="1"/>
  <c r="M43" i="1"/>
  <c r="N43" i="1"/>
  <c r="E43" i="1"/>
  <c r="H34" i="3"/>
  <c r="I34" i="3"/>
  <c r="J34" i="3"/>
  <c r="K34" i="3"/>
  <c r="L34" i="3"/>
  <c r="M34" i="3"/>
  <c r="N34" i="3"/>
  <c r="D31" i="3"/>
  <c r="E31" i="3"/>
  <c r="F31" i="3"/>
  <c r="G31" i="3"/>
  <c r="H31" i="3"/>
  <c r="I31" i="3"/>
  <c r="J31" i="3"/>
  <c r="K31" i="3"/>
  <c r="L31" i="3"/>
  <c r="M31" i="3"/>
  <c r="N31" i="3"/>
  <c r="H32" i="3"/>
  <c r="I32" i="3"/>
  <c r="J32" i="3"/>
  <c r="K32" i="3"/>
  <c r="L32" i="3"/>
  <c r="M32" i="3"/>
  <c r="N32" i="3"/>
  <c r="D33" i="3"/>
  <c r="E33" i="3"/>
  <c r="F33" i="3"/>
  <c r="G33" i="3"/>
  <c r="H33" i="3"/>
  <c r="I33" i="3"/>
  <c r="J33" i="3"/>
  <c r="K33" i="3"/>
  <c r="L33" i="3"/>
  <c r="M33" i="3"/>
  <c r="N33" i="3"/>
  <c r="C25" i="3"/>
  <c r="C33" i="3"/>
  <c r="C31" i="3"/>
  <c r="H25" i="3" l="1"/>
  <c r="I25" i="3"/>
  <c r="J25" i="3"/>
  <c r="K25" i="3"/>
  <c r="L25" i="3"/>
  <c r="H24" i="3"/>
  <c r="I24" i="3"/>
  <c r="J24" i="3"/>
  <c r="K24" i="3"/>
  <c r="L24" i="3"/>
  <c r="C24" i="3"/>
  <c r="H23" i="3"/>
  <c r="I23" i="3"/>
  <c r="J23" i="3"/>
  <c r="K23" i="3"/>
  <c r="L23" i="3"/>
  <c r="C23" i="3"/>
  <c r="D22" i="3"/>
  <c r="E22" i="3"/>
  <c r="F22" i="3"/>
  <c r="G22" i="3"/>
  <c r="H22" i="3"/>
  <c r="I22" i="3"/>
  <c r="J22" i="3"/>
  <c r="K22" i="3"/>
  <c r="L22" i="3"/>
  <c r="C22" i="3"/>
  <c r="G29" i="3"/>
  <c r="H29" i="3"/>
  <c r="I29" i="3"/>
  <c r="J29" i="3"/>
  <c r="K29" i="3"/>
  <c r="L29" i="3"/>
  <c r="M29" i="3"/>
  <c r="N29" i="3"/>
  <c r="H20" i="3"/>
  <c r="I20" i="3"/>
  <c r="J20" i="3"/>
  <c r="K20" i="3"/>
  <c r="L20" i="3"/>
  <c r="J31" i="1"/>
  <c r="F28" i="1"/>
  <c r="G28" i="1"/>
  <c r="H28" i="1"/>
  <c r="I28" i="1"/>
  <c r="J28" i="1"/>
  <c r="K28" i="1"/>
  <c r="L28" i="1"/>
  <c r="M28" i="1"/>
  <c r="N28" i="1"/>
  <c r="E28" i="1"/>
  <c r="E29" i="1" s="1"/>
  <c r="E42" i="1" s="1"/>
  <c r="I80" i="1"/>
  <c r="J80" i="1" s="1"/>
  <c r="L80" i="1" s="1"/>
  <c r="I81" i="1"/>
  <c r="J81" i="1" s="1"/>
  <c r="L81" i="1" s="1"/>
  <c r="I82" i="1"/>
  <c r="J82" i="1" s="1"/>
  <c r="L82" i="1" s="1"/>
  <c r="I83" i="1"/>
  <c r="J83" i="1" s="1"/>
  <c r="L83" i="1" s="1"/>
  <c r="I73" i="1"/>
  <c r="J73" i="1" s="1"/>
  <c r="L73" i="1" s="1"/>
  <c r="I74" i="1"/>
  <c r="J74" i="1" s="1"/>
  <c r="L74" i="1" s="1"/>
  <c r="I75" i="1"/>
  <c r="J75" i="1" s="1"/>
  <c r="L75" i="1" s="1"/>
  <c r="I76" i="1"/>
  <c r="J76" i="1" s="1"/>
  <c r="L76" i="1" s="1"/>
  <c r="I77" i="1"/>
  <c r="J77" i="1" s="1"/>
  <c r="L77" i="1" s="1"/>
  <c r="I78" i="1"/>
  <c r="J78" i="1" s="1"/>
  <c r="L78" i="1" s="1"/>
  <c r="I79" i="1"/>
  <c r="J79" i="1" s="1"/>
  <c r="L79" i="1" s="1"/>
  <c r="I72" i="1"/>
  <c r="J72" i="1" s="1"/>
  <c r="L72" i="1" s="1"/>
  <c r="F53" i="1"/>
  <c r="G53" i="1"/>
  <c r="H53" i="1"/>
  <c r="H55" i="1" s="1"/>
  <c r="I53" i="1"/>
  <c r="I55" i="1" s="1"/>
  <c r="F54" i="1"/>
  <c r="G54" i="1"/>
  <c r="H54" i="1"/>
  <c r="H56" i="1" s="1"/>
  <c r="I54" i="1"/>
  <c r="I56" i="1" s="1"/>
  <c r="F57" i="1"/>
  <c r="G57" i="1"/>
  <c r="H57" i="1"/>
  <c r="I57" i="1"/>
  <c r="E57" i="1"/>
  <c r="E54" i="1"/>
  <c r="E56" i="1" s="1"/>
  <c r="E53" i="1"/>
  <c r="E55" i="1" s="1"/>
  <c r="C29" i="3" l="1"/>
  <c r="G32" i="3"/>
  <c r="G34" i="3"/>
  <c r="M76" i="1" s="1"/>
  <c r="F29" i="3"/>
  <c r="E29" i="3"/>
  <c r="E32" i="3" s="1"/>
  <c r="D29" i="3"/>
  <c r="D32" i="3" s="1"/>
  <c r="F55" i="1"/>
  <c r="E58" i="1"/>
  <c r="P72" i="1"/>
  <c r="P75" i="1"/>
  <c r="P83" i="1"/>
  <c r="P82" i="1"/>
  <c r="P81" i="1"/>
  <c r="P80" i="1"/>
  <c r="P79" i="1"/>
  <c r="P78" i="1"/>
  <c r="P77" i="1"/>
  <c r="P76" i="1"/>
  <c r="P74" i="1"/>
  <c r="P73" i="1"/>
  <c r="I58" i="1"/>
  <c r="I59" i="1" s="1"/>
  <c r="I52" i="1" s="1"/>
  <c r="H58" i="1"/>
  <c r="H59" i="1" s="1"/>
  <c r="H52" i="1" s="1"/>
  <c r="F29" i="1"/>
  <c r="G29" i="1"/>
  <c r="G55" i="1" s="1"/>
  <c r="H29" i="1"/>
  <c r="H42" i="1" s="1"/>
  <c r="F20" i="3" s="1"/>
  <c r="I29" i="1"/>
  <c r="I42" i="1" s="1"/>
  <c r="G20" i="3" s="1"/>
  <c r="J29" i="1"/>
  <c r="J42" i="1" s="1"/>
  <c r="K29" i="1"/>
  <c r="K42" i="1" s="1"/>
  <c r="L29" i="1"/>
  <c r="L42" i="1" s="1"/>
  <c r="M29" i="1"/>
  <c r="M42" i="1" s="1"/>
  <c r="N29" i="1"/>
  <c r="N42" i="1" s="1"/>
  <c r="G25" i="3" l="1"/>
  <c r="I43" i="1" s="1"/>
  <c r="G23" i="3"/>
  <c r="G24" i="3"/>
  <c r="F25" i="3"/>
  <c r="H43" i="1" s="1"/>
  <c r="F24" i="3"/>
  <c r="F23" i="3"/>
  <c r="C32" i="3"/>
  <c r="C34" i="3"/>
  <c r="M72" i="1" s="1"/>
  <c r="F32" i="3"/>
  <c r="F34" i="3"/>
  <c r="M75" i="1" s="1"/>
  <c r="G56" i="1"/>
  <c r="G58" i="1" s="1"/>
  <c r="G59" i="1" s="1"/>
  <c r="G52" i="1" s="1"/>
  <c r="G42" i="1" s="1"/>
  <c r="E20" i="3" s="1"/>
  <c r="F56" i="1"/>
  <c r="F58" i="1" s="1"/>
  <c r="F59" i="1" s="1"/>
  <c r="F52" i="1" s="1"/>
  <c r="F42" i="1" s="1"/>
  <c r="D20" i="3" s="1"/>
  <c r="E59" i="1"/>
  <c r="E52" i="1" s="1"/>
  <c r="E34" i="3" l="1"/>
  <c r="M74" i="1" s="1"/>
  <c r="E25" i="3"/>
  <c r="G43" i="1" s="1"/>
  <c r="E23" i="3"/>
  <c r="E24" i="3"/>
  <c r="D34" i="3"/>
  <c r="M73" i="1" s="1"/>
  <c r="D23" i="3"/>
  <c r="D25" i="3" s="1"/>
  <c r="F43" i="1" s="1"/>
  <c r="D24" i="3"/>
</calcChain>
</file>

<file path=xl/sharedStrings.xml><?xml version="1.0" encoding="utf-8"?>
<sst xmlns="http://schemas.openxmlformats.org/spreadsheetml/2006/main" count="113" uniqueCount="95">
  <si>
    <t>WP300000</t>
  </si>
  <si>
    <t>Data entry worksheet</t>
  </si>
  <si>
    <t>Serial No.</t>
  </si>
  <si>
    <t>Clean, no damage</t>
  </si>
  <si>
    <t>Has Defects</t>
  </si>
  <si>
    <t>List:</t>
  </si>
  <si>
    <t>Frequency Setting (if variable)</t>
  </si>
  <si>
    <t>Surface finish</t>
  </si>
  <si>
    <t>Note any damage</t>
  </si>
  <si>
    <t>Result</t>
  </si>
  <si>
    <t>Standards calibration</t>
  </si>
  <si>
    <t>10.3.2</t>
  </si>
  <si>
    <t>10.3.1</t>
  </si>
  <si>
    <t>Reading 1</t>
  </si>
  <si>
    <t>Reading 2</t>
  </si>
  <si>
    <t>Reading 3</t>
  </si>
  <si>
    <t>Deviation</t>
  </si>
  <si>
    <t>Correction Factor</t>
  </si>
  <si>
    <t>Previous %I.A.C.S</t>
  </si>
  <si>
    <t>New % IACS</t>
  </si>
  <si>
    <t>Selected Secondary Standard Value</t>
  </si>
  <si>
    <t>Low secondary Standard</t>
  </si>
  <si>
    <t>High secondary standard</t>
  </si>
  <si>
    <t>To interpolate using any number of points between two points:</t>
  </si>
  <si>
    <t>I is a desired interpollation point</t>
  </si>
  <si>
    <t>S1</t>
  </si>
  <si>
    <t>S2</t>
  </si>
  <si>
    <t>C1</t>
  </si>
  <si>
    <t>C2</t>
  </si>
  <si>
    <t>I1</t>
  </si>
  <si>
    <t>Interpolated Secondary Deviation</t>
  </si>
  <si>
    <t>Interpolated Secondary Standard C.F</t>
  </si>
  <si>
    <t>Average Deviation</t>
  </si>
  <si>
    <t xml:space="preserve">10.3.2.1 </t>
  </si>
  <si>
    <t>Interpolation of secondary standard value (If needed)</t>
  </si>
  <si>
    <t>(Select Checkbox If Interpolating)</t>
  </si>
  <si>
    <t>SECTION 9</t>
  </si>
  <si>
    <t>SECTION 10</t>
  </si>
  <si>
    <t>10.5.2</t>
  </si>
  <si>
    <t>Conductivity Meter Accuracy Test</t>
  </si>
  <si>
    <t>JGI Standard Values</t>
  </si>
  <si>
    <t>Average</t>
  </si>
  <si>
    <t>Tolerance</t>
  </si>
  <si>
    <t>P/F</t>
  </si>
  <si>
    <t>Customer Meter</t>
  </si>
  <si>
    <t>Date</t>
  </si>
  <si>
    <t>Action</t>
  </si>
  <si>
    <t>Validated standard characterization, meter deviation calculation, interpolation of standards. All functions performing correctly</t>
  </si>
  <si>
    <t>Customer Probe Condition</t>
  </si>
  <si>
    <t>Serial Number</t>
  </si>
  <si>
    <t>Inspector</t>
  </si>
  <si>
    <t>10.5.1</t>
  </si>
  <si>
    <t>Instrument Sensitivity Check</t>
  </si>
  <si>
    <t>Pass/Fail</t>
  </si>
  <si>
    <t>10.4.1</t>
  </si>
  <si>
    <t>Customer Standard Calibration (Inluding Setup Standards 10.3.3)</t>
  </si>
  <si>
    <t>added rows to meter cert. No formulas changed</t>
  </si>
  <si>
    <t>Order</t>
  </si>
  <si>
    <t>Check</t>
  </si>
  <si>
    <t>Through Shim</t>
  </si>
  <si>
    <t>Difference ( shim to bare)</t>
  </si>
  <si>
    <t>Standardization and Setup</t>
  </si>
  <si>
    <t>Starting Temperature</t>
  </si>
  <si>
    <t>altered to reflect revision H</t>
  </si>
  <si>
    <t>Last Updated:</t>
  </si>
  <si>
    <t>Formatting to show 2 digits in customer standards.</t>
  </si>
  <si>
    <t>Ending Temperature:</t>
  </si>
  <si>
    <t>Reading 4</t>
  </si>
  <si>
    <t>Reading 5</t>
  </si>
  <si>
    <t>Establishing Reference Values (Standardization of JGI meter)</t>
  </si>
  <si>
    <t>Record Temperature:</t>
  </si>
  <si>
    <t>Temperature</t>
  </si>
  <si>
    <t>Average Temp</t>
  </si>
  <si>
    <t>(Note: if Temps are colored red, environment must be stabilized and testing redone)</t>
  </si>
  <si>
    <t>Added more temp monitoring to comply with section 7. Simple averaging and built in conditional formatting verified</t>
  </si>
  <si>
    <t>(If Resurfaced) Final Result</t>
  </si>
  <si>
    <t>(Resurface if &gt;63) Result</t>
  </si>
  <si>
    <t>Standards</t>
  </si>
  <si>
    <t>Meter</t>
  </si>
  <si>
    <t>factor</t>
  </si>
  <si>
    <t>base</t>
  </si>
  <si>
    <t>Uncertainties</t>
  </si>
  <si>
    <t>Readings</t>
  </si>
  <si>
    <t>Value</t>
  </si>
  <si>
    <t>Uncertainty</t>
  </si>
  <si>
    <t>o1</t>
  </si>
  <si>
    <t>o3</t>
  </si>
  <si>
    <t>o2</t>
  </si>
  <si>
    <t>Unc. Used</t>
  </si>
  <si>
    <t>unc. Used</t>
  </si>
  <si>
    <t>Uncert.</t>
  </si>
  <si>
    <t>low</t>
  </si>
  <si>
    <t>high</t>
  </si>
  <si>
    <t>Measurement Uncertainty (%IACS)</t>
  </si>
  <si>
    <t>added uncertainties, place to record roughness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</si>
</sst>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&quot;°F&quot;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0" fillId="2" borderId="5" xfId="0" applyFill="1" applyBorder="1"/>
    <xf numFmtId="0" fontId="1" fillId="2" borderId="5" xfId="0" applyFont="1" applyFill="1" applyBorder="1" applyAlignment="1">
      <alignment horizontal="right"/>
    </xf>
    <xf numFmtId="0" fontId="1" fillId="2" borderId="5" xfId="0" applyFont="1" applyFill="1" applyBorder="1"/>
    <xf numFmtId="0" fontId="2" fillId="2" borderId="5" xfId="0" applyFont="1" applyFill="1" applyBorder="1"/>
    <xf numFmtId="0" fontId="0" fillId="2" borderId="5" xfId="0" applyFill="1" applyBorder="1" applyAlignment="1">
      <alignment horizontal="right"/>
    </xf>
    <xf numFmtId="2" fontId="0" fillId="2" borderId="0" xfId="0" applyNumberFormat="1" applyFill="1" applyAlignment="1">
      <alignment horizontal="center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0" fontId="0" fillId="5" borderId="1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1" xfId="0" applyFill="1" applyBorder="1" applyProtection="1">
      <protection locked="0"/>
    </xf>
    <xf numFmtId="2" fontId="0" fillId="4" borderId="1" xfId="0" applyNumberFormat="1" applyFill="1" applyBorder="1" applyProtection="1">
      <protection locked="0"/>
    </xf>
    <xf numFmtId="2" fontId="0" fillId="3" borderId="1" xfId="0" applyNumberFormat="1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2" fillId="2" borderId="0" xfId="0" applyFont="1" applyFill="1" applyProtection="1">
      <protection locked="0"/>
    </xf>
    <xf numFmtId="2" fontId="0" fillId="2" borderId="0" xfId="0" applyNumberFormat="1" applyFill="1"/>
    <xf numFmtId="165" fontId="0" fillId="2" borderId="10" xfId="0" applyNumberFormat="1" applyFill="1" applyBorder="1" applyProtection="1">
      <protection locked="0"/>
    </xf>
    <xf numFmtId="2" fontId="4" fillId="2" borderId="0" xfId="0" applyNumberFormat="1" applyFont="1" applyFill="1" applyAlignment="1">
      <alignment horizontal="center"/>
    </xf>
    <xf numFmtId="14" fontId="0" fillId="2" borderId="0" xfId="0" applyNumberFormat="1" applyFill="1"/>
    <xf numFmtId="2" fontId="2" fillId="2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165" fontId="0" fillId="2" borderId="6" xfId="0" applyNumberFormat="1" applyFill="1" applyBorder="1"/>
    <xf numFmtId="164" fontId="0" fillId="5" borderId="6" xfId="0" applyNumberFormat="1" applyFill="1" applyBorder="1" applyProtection="1">
      <protection locked="0"/>
    </xf>
    <xf numFmtId="0" fontId="6" fillId="2" borderId="0" xfId="0" applyFont="1" applyFill="1"/>
    <xf numFmtId="2" fontId="0" fillId="0" borderId="0" xfId="0" applyNumberFormat="1"/>
    <xf numFmtId="0" fontId="7" fillId="2" borderId="0" xfId="0" applyFont="1" applyFill="1" applyAlignment="1">
      <alignment horizontal="center"/>
    </xf>
    <xf numFmtId="0" fontId="0" fillId="5" borderId="2" xfId="0" applyFill="1" applyBorder="1" applyAlignment="1" applyProtection="1">
      <alignment horizontal="left"/>
      <protection locked="0"/>
    </xf>
    <xf numFmtId="0" fontId="0" fillId="5" borderId="3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left"/>
      <protection locked="0"/>
    </xf>
    <xf numFmtId="14" fontId="0" fillId="2" borderId="7" xfId="0" applyNumberFormat="1" applyFill="1" applyBorder="1" applyAlignment="1" applyProtection="1">
      <alignment horizontal="left"/>
      <protection locked="0"/>
    </xf>
    <xf numFmtId="0" fontId="0" fillId="2" borderId="10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E47" lockText="1" noThreeD="1"/>
</file>

<file path=xl/ctrlProps/ctrlProp2.xml><?xml version="1.0" encoding="utf-8"?>
<formControlPr xmlns="http://schemas.microsoft.com/office/spreadsheetml/2009/9/main" objectType="CheckBox" fmlaLink="F47" lockText="1" noThreeD="1"/>
</file>

<file path=xl/ctrlProps/ctrlProp3.xml><?xml version="1.0" encoding="utf-8"?>
<formControlPr xmlns="http://schemas.microsoft.com/office/spreadsheetml/2009/9/main" objectType="CheckBox" fmlaLink="G47" lockText="1" noThreeD="1"/>
</file>

<file path=xl/ctrlProps/ctrlProp4.xml><?xml version="1.0" encoding="utf-8"?>
<formControlPr xmlns="http://schemas.microsoft.com/office/spreadsheetml/2009/9/main" objectType="CheckBox" fmlaLink="H47" lockText="1" noThreeD="1"/>
</file>

<file path=xl/ctrlProps/ctrlProp5.xml><?xml version="1.0" encoding="utf-8"?>
<formControlPr xmlns="http://schemas.microsoft.com/office/spreadsheetml/2009/9/main" objectType="CheckBox" fmlaLink="I47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44</xdr:row>
          <xdr:rowOff>160020</xdr:rowOff>
        </xdr:from>
        <xdr:to>
          <xdr:col>4</xdr:col>
          <xdr:colOff>487680</xdr:colOff>
          <xdr:row>46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44</xdr:row>
          <xdr:rowOff>167640</xdr:rowOff>
        </xdr:from>
        <xdr:to>
          <xdr:col>5</xdr:col>
          <xdr:colOff>487680</xdr:colOff>
          <xdr:row>46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44</xdr:row>
          <xdr:rowOff>167640</xdr:rowOff>
        </xdr:from>
        <xdr:to>
          <xdr:col>6</xdr:col>
          <xdr:colOff>495300</xdr:colOff>
          <xdr:row>46</xdr:row>
          <xdr:rowOff>22860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44</xdr:row>
          <xdr:rowOff>167640</xdr:rowOff>
        </xdr:from>
        <xdr:to>
          <xdr:col>7</xdr:col>
          <xdr:colOff>487680</xdr:colOff>
          <xdr:row>46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205740</xdr:colOff>
          <xdr:row>44</xdr:row>
          <xdr:rowOff>167640</xdr:rowOff>
        </xdr:from>
        <xdr:to>
          <xdr:col>8</xdr:col>
          <xdr:colOff>502920</xdr:colOff>
          <xdr:row>46</xdr:row>
          <xdr:rowOff>22860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7</xdr:row>
          <xdr:rowOff>114300</xdr:rowOff>
        </xdr:from>
        <xdr:to>
          <xdr:col>2</xdr:col>
          <xdr:colOff>579120</xdr:colOff>
          <xdr:row>9</xdr:row>
          <xdr:rowOff>60960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6</xdr:row>
          <xdr:rowOff>106680</xdr:rowOff>
        </xdr:from>
        <xdr:to>
          <xdr:col>2</xdr:col>
          <xdr:colOff>579120</xdr:colOff>
          <xdr:row>8</xdr:row>
          <xdr:rowOff>60960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457A-08DD-418E-9704-876D61E2825A}">
  <dimension ref="B2:T88"/>
  <sheetViews>
    <sheetView tabSelected="1" zoomScaleNormal="100" workbookViewId="0">
      <selection activeCell="E12" sqref="E12"/>
    </sheetView>
  </sheetViews>
  <sheetFormatPr defaultColWidth="8.88671875" defaultRowHeight="14.4" x14ac:dyDescent="0.3"/>
  <cols>
    <col min="1" max="2" width="8.88671875" style="1"/>
    <col min="3" max="3" width="10" style="15" customWidth="1"/>
    <col min="4" max="4" width="39.44140625" style="1" customWidth="1"/>
    <col min="5" max="11" width="8.88671875" style="1"/>
    <col min="12" max="12" width="11.21875" style="1" bestFit="1" customWidth="1"/>
    <col min="13" max="13" width="9.44140625" style="1" customWidth="1"/>
    <col min="14" max="14" width="11.44140625" style="1" customWidth="1"/>
    <col min="15" max="16384" width="8.88671875" style="1"/>
  </cols>
  <sheetData>
    <row r="2" spans="2:14" x14ac:dyDescent="0.3">
      <c r="C2" s="19" t="s">
        <v>0</v>
      </c>
      <c r="D2" s="4" t="s">
        <v>45</v>
      </c>
      <c r="E2" s="48"/>
      <c r="F2" s="48"/>
      <c r="K2" s="4" t="s">
        <v>64</v>
      </c>
      <c r="L2" s="37">
        <v>45977</v>
      </c>
    </row>
    <row r="3" spans="2:14" x14ac:dyDescent="0.3">
      <c r="B3" s="1" t="s">
        <v>1</v>
      </c>
      <c r="D3" s="4" t="s">
        <v>50</v>
      </c>
      <c r="E3" s="49"/>
      <c r="F3" s="49"/>
    </row>
    <row r="4" spans="2:14" x14ac:dyDescent="0.3">
      <c r="D4" s="4" t="s">
        <v>57</v>
      </c>
      <c r="E4" s="49"/>
      <c r="F4" s="49"/>
    </row>
    <row r="5" spans="2:14" x14ac:dyDescent="0.3">
      <c r="D5" s="4" t="s">
        <v>62</v>
      </c>
      <c r="E5" s="35"/>
    </row>
    <row r="6" spans="2:14" ht="16.2" customHeight="1" x14ac:dyDescent="0.3">
      <c r="C6" s="16" t="s">
        <v>36</v>
      </c>
    </row>
    <row r="7" spans="2:14" x14ac:dyDescent="0.3">
      <c r="C7" s="17">
        <v>9.4</v>
      </c>
      <c r="D7" s="3" t="s">
        <v>48</v>
      </c>
      <c r="E7" s="3"/>
    </row>
    <row r="8" spans="2:14" x14ac:dyDescent="0.3">
      <c r="D8" s="8" t="s">
        <v>3</v>
      </c>
    </row>
    <row r="9" spans="2:14" ht="15" thickBot="1" x14ac:dyDescent="0.35">
      <c r="D9" s="8" t="s">
        <v>4</v>
      </c>
    </row>
    <row r="10" spans="2:14" ht="15" thickBot="1" x14ac:dyDescent="0.35">
      <c r="D10" s="4" t="s">
        <v>5</v>
      </c>
      <c r="E10" s="45"/>
      <c r="F10" s="46"/>
      <c r="G10" s="46"/>
      <c r="H10" s="47"/>
    </row>
    <row r="11" spans="2:14" ht="15" thickBot="1" x14ac:dyDescent="0.35"/>
    <row r="12" spans="2:14" ht="15" thickBot="1" x14ac:dyDescent="0.35">
      <c r="C12" s="17">
        <v>9.5</v>
      </c>
      <c r="D12" s="3" t="s">
        <v>6</v>
      </c>
      <c r="E12" s="23"/>
    </row>
    <row r="14" spans="2:14" ht="15" thickBot="1" x14ac:dyDescent="0.35">
      <c r="C14" s="17">
        <v>9.6</v>
      </c>
      <c r="D14" s="3" t="s">
        <v>7</v>
      </c>
    </row>
    <row r="15" spans="2:14" ht="15" thickBot="1" x14ac:dyDescent="0.35">
      <c r="D15" s="4" t="s">
        <v>8</v>
      </c>
      <c r="E15" s="45"/>
      <c r="F15" s="46"/>
      <c r="G15" s="46"/>
      <c r="H15" s="47"/>
    </row>
    <row r="16" spans="2:14" ht="15" thickBot="1" x14ac:dyDescent="0.35">
      <c r="D16" s="4" t="s">
        <v>76</v>
      </c>
      <c r="E16" s="24"/>
      <c r="F16" s="24"/>
      <c r="G16" s="24"/>
      <c r="H16" s="24"/>
      <c r="I16" s="25"/>
      <c r="J16" s="25"/>
      <c r="K16" s="25"/>
      <c r="L16" s="25"/>
      <c r="M16" s="25"/>
      <c r="N16" s="25"/>
    </row>
    <row r="17" spans="3:20" ht="15" thickBot="1" x14ac:dyDescent="0.35">
      <c r="D17" s="4" t="s">
        <v>75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</row>
    <row r="18" spans="3:20" x14ac:dyDescent="0.3">
      <c r="C18" s="16" t="s">
        <v>37</v>
      </c>
    </row>
    <row r="19" spans="3:20" x14ac:dyDescent="0.3">
      <c r="C19" s="17">
        <v>10.3</v>
      </c>
      <c r="D19" s="3" t="s">
        <v>10</v>
      </c>
    </row>
    <row r="20" spans="3:20" x14ac:dyDescent="0.3">
      <c r="D20" s="4" t="s">
        <v>70</v>
      </c>
      <c r="E20" s="35"/>
    </row>
    <row r="21" spans="3:20" ht="15" thickBot="1" x14ac:dyDescent="0.35">
      <c r="C21" s="16" t="s">
        <v>12</v>
      </c>
      <c r="D21" s="3" t="s">
        <v>69</v>
      </c>
    </row>
    <row r="22" spans="3:20" ht="15" thickBot="1" x14ac:dyDescent="0.35">
      <c r="D22" s="4" t="s">
        <v>20</v>
      </c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3:20" ht="15" thickBot="1" x14ac:dyDescent="0.35">
      <c r="D23" s="4" t="s">
        <v>13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3:20" ht="15" thickBot="1" x14ac:dyDescent="0.35">
      <c r="D24" s="4" t="s">
        <v>14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3:20" ht="15" thickBot="1" x14ac:dyDescent="0.35">
      <c r="D25" s="4" t="s">
        <v>15</v>
      </c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3:20" ht="15" thickBot="1" x14ac:dyDescent="0.35">
      <c r="D26" s="4" t="s">
        <v>67</v>
      </c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3:20" ht="15" thickBot="1" x14ac:dyDescent="0.35">
      <c r="D27" s="4" t="s">
        <v>68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3:20" x14ac:dyDescent="0.3">
      <c r="D28" s="4" t="s">
        <v>16</v>
      </c>
      <c r="E28" s="20" t="e">
        <f>AVERAGE(E23:E27)-E22</f>
        <v>#DIV/0!</v>
      </c>
      <c r="F28" s="20" t="e">
        <f>AVERAGE(F23:F27)-F22</f>
        <v>#DIV/0!</v>
      </c>
      <c r="G28" s="20" t="e">
        <f t="shared" ref="G28:N28" si="0">AVERAGE(G23:G27)-G22</f>
        <v>#DIV/0!</v>
      </c>
      <c r="H28" s="20" t="e">
        <f t="shared" si="0"/>
        <v>#DIV/0!</v>
      </c>
      <c r="I28" s="20" t="e">
        <f t="shared" si="0"/>
        <v>#DIV/0!</v>
      </c>
      <c r="J28" s="20" t="e">
        <f t="shared" si="0"/>
        <v>#DIV/0!</v>
      </c>
      <c r="K28" s="20" t="e">
        <f t="shared" si="0"/>
        <v>#DIV/0!</v>
      </c>
      <c r="L28" s="20" t="e">
        <f t="shared" si="0"/>
        <v>#DIV/0!</v>
      </c>
      <c r="M28" s="20" t="e">
        <f t="shared" si="0"/>
        <v>#DIV/0!</v>
      </c>
      <c r="N28" s="20" t="e">
        <f t="shared" si="0"/>
        <v>#DIV/0!</v>
      </c>
    </row>
    <row r="29" spans="3:20" x14ac:dyDescent="0.3">
      <c r="D29" s="4" t="s">
        <v>17</v>
      </c>
      <c r="E29" s="20" t="e">
        <f t="shared" ref="E29:N29" si="1">-E28</f>
        <v>#DIV/0!</v>
      </c>
      <c r="F29" s="8" t="e">
        <f t="shared" si="1"/>
        <v>#DIV/0!</v>
      </c>
      <c r="G29" s="8" t="e">
        <f t="shared" si="1"/>
        <v>#DIV/0!</v>
      </c>
      <c r="H29" s="8" t="e">
        <f t="shared" si="1"/>
        <v>#DIV/0!</v>
      </c>
      <c r="I29" s="8" t="e">
        <f t="shared" si="1"/>
        <v>#DIV/0!</v>
      </c>
      <c r="J29" s="8" t="e">
        <f t="shared" si="1"/>
        <v>#DIV/0!</v>
      </c>
      <c r="K29" s="8" t="e">
        <f t="shared" si="1"/>
        <v>#DIV/0!</v>
      </c>
      <c r="L29" s="8" t="e">
        <f t="shared" si="1"/>
        <v>#DIV/0!</v>
      </c>
      <c r="M29" s="8" t="e">
        <f t="shared" si="1"/>
        <v>#DIV/0!</v>
      </c>
      <c r="N29" s="8" t="e">
        <f t="shared" si="1"/>
        <v>#DIV/0!</v>
      </c>
    </row>
    <row r="30" spans="3:20" ht="27" customHeight="1" x14ac:dyDescent="0.3">
      <c r="E30" s="9"/>
    </row>
    <row r="31" spans="3:20" x14ac:dyDescent="0.3">
      <c r="C31" s="16" t="s">
        <v>11</v>
      </c>
      <c r="D31" s="3" t="s">
        <v>55</v>
      </c>
      <c r="I31" s="4" t="s">
        <v>72</v>
      </c>
      <c r="J31" s="40" t="e">
        <f>AVERAGE(E5,E20,E33:N33)</f>
        <v>#DIV/0!</v>
      </c>
    </row>
    <row r="32" spans="3:20" x14ac:dyDescent="0.3">
      <c r="C32" s="16"/>
      <c r="D32" s="4"/>
      <c r="E32" s="1" t="s">
        <v>73</v>
      </c>
      <c r="P32" s="42"/>
      <c r="Q32" s="42"/>
      <c r="R32" s="42"/>
      <c r="S32" s="42"/>
      <c r="T32" s="42"/>
    </row>
    <row r="33" spans="3:20" x14ac:dyDescent="0.3">
      <c r="C33" s="16"/>
      <c r="D33" s="4" t="s">
        <v>71</v>
      </c>
      <c r="E33" s="41"/>
      <c r="F33" s="41"/>
      <c r="G33" s="41"/>
      <c r="H33" s="41"/>
      <c r="I33" s="41"/>
      <c r="J33" s="41"/>
      <c r="K33" s="41"/>
      <c r="L33" s="41"/>
      <c r="M33" s="41"/>
      <c r="N33" s="41"/>
      <c r="P33" s="42"/>
      <c r="Q33" s="42"/>
      <c r="R33" s="42"/>
      <c r="S33" s="42"/>
      <c r="T33" s="42"/>
    </row>
    <row r="34" spans="3:20" ht="15" thickBot="1" x14ac:dyDescent="0.35">
      <c r="C34" s="16"/>
      <c r="D34" s="4" t="s">
        <v>49</v>
      </c>
      <c r="E34" s="28"/>
      <c r="F34" s="29"/>
      <c r="G34" s="29"/>
      <c r="H34" s="29"/>
      <c r="I34" s="29"/>
      <c r="J34" s="29"/>
      <c r="K34" s="29"/>
      <c r="L34" s="29"/>
      <c r="M34" s="29"/>
      <c r="N34" s="29"/>
      <c r="P34" s="42"/>
      <c r="Q34" s="42"/>
      <c r="R34" s="42"/>
      <c r="S34" s="42"/>
      <c r="T34" s="42"/>
    </row>
    <row r="35" spans="3:20" ht="15" thickBot="1" x14ac:dyDescent="0.35">
      <c r="D35" s="4" t="s">
        <v>18</v>
      </c>
      <c r="E35" s="26"/>
      <c r="F35" s="26"/>
      <c r="G35" s="26"/>
      <c r="H35" s="26"/>
      <c r="I35" s="26"/>
      <c r="J35" s="26"/>
      <c r="K35" s="26"/>
      <c r="L35" s="26"/>
      <c r="M35" s="26"/>
      <c r="N35" s="26"/>
      <c r="P35" s="42"/>
      <c r="Q35" s="42"/>
      <c r="R35" s="42"/>
      <c r="S35" s="42"/>
      <c r="T35" s="42"/>
    </row>
    <row r="36" spans="3:20" ht="15" thickBot="1" x14ac:dyDescent="0.35">
      <c r="D36" s="4" t="s">
        <v>13</v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P36" s="42"/>
      <c r="Q36" s="42"/>
      <c r="R36" s="42"/>
      <c r="S36" s="42"/>
      <c r="T36" s="42"/>
    </row>
    <row r="37" spans="3:20" ht="15" thickBot="1" x14ac:dyDescent="0.35">
      <c r="D37" s="4" t="s">
        <v>14</v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P37" s="42"/>
      <c r="Q37" s="42"/>
      <c r="R37" s="42"/>
      <c r="S37" s="42"/>
      <c r="T37" s="42"/>
    </row>
    <row r="38" spans="3:20" ht="15" thickBot="1" x14ac:dyDescent="0.35">
      <c r="D38" s="4" t="s">
        <v>15</v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P38" s="42"/>
      <c r="Q38" s="42"/>
      <c r="R38" s="42"/>
      <c r="S38" s="42"/>
      <c r="T38" s="42"/>
    </row>
    <row r="39" spans="3:20" ht="15" thickBot="1" x14ac:dyDescent="0.35">
      <c r="D39" s="4" t="s">
        <v>67</v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P39" s="42"/>
      <c r="Q39" s="42"/>
      <c r="R39" s="42"/>
      <c r="S39" s="42"/>
      <c r="T39" s="42"/>
    </row>
    <row r="40" spans="3:20" ht="15" thickBot="1" x14ac:dyDescent="0.35">
      <c r="D40" s="4" t="s">
        <v>68</v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P40" s="42"/>
      <c r="Q40" s="42"/>
      <c r="R40" s="42"/>
      <c r="S40" s="42"/>
      <c r="T40" s="42"/>
    </row>
    <row r="41" spans="3:20" x14ac:dyDescent="0.3">
      <c r="E41" s="20"/>
      <c r="F41" s="20"/>
      <c r="G41" s="20"/>
      <c r="H41" s="20"/>
      <c r="I41" s="20"/>
      <c r="J41" s="20"/>
      <c r="K41" s="20"/>
      <c r="L41" s="20"/>
      <c r="M41" s="20"/>
      <c r="N41" s="20"/>
      <c r="P41" s="42"/>
      <c r="Q41" s="42"/>
      <c r="R41" s="42"/>
      <c r="S41" s="42"/>
      <c r="T41" s="42"/>
    </row>
    <row r="42" spans="3:20" x14ac:dyDescent="0.3">
      <c r="D42" s="2" t="s">
        <v>19</v>
      </c>
      <c r="E42" s="36" t="e">
        <f>IF(E47=FALSE,AVERAGE(E36:E40)+E29,AVERAGE(E36:E40)+E52)</f>
        <v>#DIV/0!</v>
      </c>
      <c r="F42" s="39" t="e">
        <f>IF(F47=FALSE,AVERAGE(F36:F40)+F29,AVERAGE(F36:F40)+F52)</f>
        <v>#DIV/0!</v>
      </c>
      <c r="G42" s="36" t="e">
        <f>IF(G47=FALSE,AVERAGE(G36:G40)+G29,AVERAGE(G36:G40)+G52)</f>
        <v>#DIV/0!</v>
      </c>
      <c r="H42" s="36" t="e">
        <f>IF(H47=FALSE,AVERAGE(H36:H40)+H29,AVERAGE(H36:H40)+H52)</f>
        <v>#DIV/0!</v>
      </c>
      <c r="I42" s="36" t="e">
        <f>IF(I47=FALSE,AVERAGE(I36:I40)+I29,AVERAGE(I36:I40)+I52)</f>
        <v>#DIV/0!</v>
      </c>
      <c r="J42" s="36" t="e">
        <f>IF(J47=FALSE,AVERAGE(J36:J40)+J29,AVERAGE(J36:J40)+J53)</f>
        <v>#DIV/0!</v>
      </c>
      <c r="K42" s="36" t="e">
        <f>IF(K47=FALSE,AVERAGE(K36:K40)+K29,AVERAGE(K36:K40)+K53)</f>
        <v>#DIV/0!</v>
      </c>
      <c r="L42" s="36" t="e">
        <f>IF(L47=FALSE,AVERAGE(L36:L40)+L29,AVERAGE(L36:L40)+L53)</f>
        <v>#DIV/0!</v>
      </c>
      <c r="M42" s="36" t="e">
        <f>IF(M47=FALSE,AVERAGE(M36:M40)+M29,AVERAGE(M36:M40)+M53)</f>
        <v>#DIV/0!</v>
      </c>
      <c r="N42" s="36" t="e">
        <f>IF(N47=FALSE,AVERAGE(N36:N40)+N29,AVERAGE(N36:N40)+N53)</f>
        <v>#DIV/0!</v>
      </c>
      <c r="P42" s="42"/>
      <c r="Q42" s="42"/>
      <c r="R42" s="42"/>
      <c r="S42" s="42"/>
      <c r="T42" s="42"/>
    </row>
    <row r="43" spans="3:20" x14ac:dyDescent="0.3">
      <c r="D43" s="2" t="s">
        <v>93</v>
      </c>
      <c r="E43" s="36">
        <f>uncertainty!C25</f>
        <v>0.09</v>
      </c>
      <c r="F43" s="36" t="e">
        <f>uncertainty!D25</f>
        <v>#DIV/0!</v>
      </c>
      <c r="G43" s="36" t="e">
        <f>uncertainty!E25</f>
        <v>#DIV/0!</v>
      </c>
      <c r="H43" s="36" t="e">
        <f>uncertainty!F25</f>
        <v>#DIV/0!</v>
      </c>
      <c r="I43" s="36" t="e">
        <f>uncertainty!G25</f>
        <v>#DIV/0!</v>
      </c>
      <c r="J43" s="36" t="e">
        <f>uncertainty!H25</f>
        <v>#DIV/0!</v>
      </c>
      <c r="K43" s="36" t="e">
        <f>uncertainty!I25</f>
        <v>#DIV/0!</v>
      </c>
      <c r="L43" s="36" t="e">
        <f>uncertainty!J25</f>
        <v>#DIV/0!</v>
      </c>
      <c r="M43" s="36" t="e">
        <f>uncertainty!K25</f>
        <v>#DIV/0!</v>
      </c>
      <c r="N43" s="36" t="e">
        <f>uncertainty!L25</f>
        <v>#DIV/0!</v>
      </c>
      <c r="P43" s="42"/>
      <c r="Q43" s="42"/>
      <c r="R43" s="42"/>
      <c r="S43" s="42"/>
      <c r="T43" s="42"/>
    </row>
    <row r="45" spans="3:20" x14ac:dyDescent="0.3">
      <c r="C45" s="16" t="s">
        <v>33</v>
      </c>
      <c r="D45" s="3" t="s">
        <v>34</v>
      </c>
    </row>
    <row r="46" spans="3:20" x14ac:dyDescent="0.3">
      <c r="D46" s="4" t="s">
        <v>35</v>
      </c>
      <c r="L46" s="5"/>
      <c r="M46" s="5"/>
      <c r="N46" s="5"/>
      <c r="O46" s="5"/>
      <c r="P46" s="5"/>
      <c r="Q46" s="5"/>
      <c r="R46" s="5"/>
    </row>
    <row r="47" spans="3:20" ht="15" thickBot="1" x14ac:dyDescent="0.35">
      <c r="E47" s="33" t="b">
        <v>0</v>
      </c>
      <c r="F47" s="33" t="b">
        <v>0</v>
      </c>
      <c r="G47" s="33" t="b">
        <v>0</v>
      </c>
      <c r="H47" s="33" t="b">
        <v>0</v>
      </c>
      <c r="I47" s="33" t="b">
        <v>0</v>
      </c>
      <c r="L47" s="5"/>
      <c r="M47" s="5"/>
      <c r="N47" s="5"/>
      <c r="O47" s="5"/>
      <c r="P47" s="5"/>
      <c r="Q47" s="5"/>
      <c r="R47" s="5"/>
    </row>
    <row r="48" spans="3:20" ht="15" thickBot="1" x14ac:dyDescent="0.35">
      <c r="D48" s="4" t="s">
        <v>21</v>
      </c>
      <c r="E48" s="30"/>
      <c r="F48" s="26"/>
      <c r="G48" s="26"/>
      <c r="H48" s="30"/>
      <c r="I48" s="30"/>
      <c r="L48" s="5" t="s">
        <v>23</v>
      </c>
      <c r="M48" s="5"/>
      <c r="N48" s="5"/>
      <c r="O48" s="5"/>
      <c r="P48" s="5"/>
      <c r="Q48" s="5"/>
      <c r="R48" s="5"/>
    </row>
    <row r="49" spans="3:18" ht="15" thickBot="1" x14ac:dyDescent="0.35">
      <c r="C49" s="18"/>
      <c r="D49" s="6" t="s">
        <v>32</v>
      </c>
      <c r="E49" s="7"/>
      <c r="F49" s="7"/>
      <c r="G49" s="7"/>
      <c r="H49" s="7"/>
      <c r="I49" s="7"/>
      <c r="L49" s="5" t="s">
        <v>24</v>
      </c>
      <c r="M49" s="5"/>
      <c r="N49" s="5"/>
      <c r="O49" s="5"/>
      <c r="P49" s="5"/>
      <c r="Q49" s="5"/>
      <c r="R49" s="5"/>
    </row>
    <row r="50" spans="3:18" ht="15" thickBot="1" x14ac:dyDescent="0.35">
      <c r="D50" s="4" t="s">
        <v>22</v>
      </c>
      <c r="E50" s="30"/>
      <c r="F50" s="26"/>
      <c r="G50" s="26"/>
      <c r="H50" s="30"/>
      <c r="I50" s="30"/>
      <c r="L50" s="5"/>
      <c r="M50" s="5"/>
      <c r="N50" s="5"/>
      <c r="O50" s="5"/>
      <c r="P50" s="5"/>
      <c r="Q50" s="5"/>
      <c r="R50" s="5"/>
    </row>
    <row r="51" spans="3:18" x14ac:dyDescent="0.3">
      <c r="C51" s="18"/>
      <c r="D51" s="6" t="s">
        <v>32</v>
      </c>
      <c r="E51" s="7"/>
      <c r="F51" s="38"/>
      <c r="G51" s="7"/>
      <c r="H51" s="7"/>
      <c r="I51" s="7"/>
    </row>
    <row r="52" spans="3:18" x14ac:dyDescent="0.3">
      <c r="D52" s="10" t="s">
        <v>31</v>
      </c>
      <c r="E52" s="11" t="e">
        <f>E59</f>
        <v>#N/A</v>
      </c>
      <c r="F52" s="11" t="e">
        <f>F59</f>
        <v>#N/A</v>
      </c>
      <c r="G52" s="11" t="e">
        <f>G59</f>
        <v>#N/A</v>
      </c>
      <c r="H52" s="11" t="e">
        <f>H59</f>
        <v>#N/A</v>
      </c>
      <c r="I52" s="11" t="e">
        <f>I59</f>
        <v>#N/A</v>
      </c>
    </row>
    <row r="53" spans="3:18" x14ac:dyDescent="0.3">
      <c r="D53" s="12" t="s">
        <v>25</v>
      </c>
      <c r="E53" s="13">
        <f>E48</f>
        <v>0</v>
      </c>
      <c r="F53" s="13">
        <f>F48</f>
        <v>0</v>
      </c>
      <c r="G53" s="13">
        <f>G48</f>
        <v>0</v>
      </c>
      <c r="H53" s="13">
        <f>H48</f>
        <v>0</v>
      </c>
      <c r="I53" s="13">
        <f>I48</f>
        <v>0</v>
      </c>
    </row>
    <row r="54" spans="3:18" x14ac:dyDescent="0.3">
      <c r="D54" s="12" t="s">
        <v>26</v>
      </c>
      <c r="E54" s="13">
        <f>E50</f>
        <v>0</v>
      </c>
      <c r="F54" s="13">
        <f>F50</f>
        <v>0</v>
      </c>
      <c r="G54" s="13">
        <f>G50</f>
        <v>0</v>
      </c>
      <c r="H54" s="13">
        <f>H50</f>
        <v>0</v>
      </c>
      <c r="I54" s="13">
        <f>I50</f>
        <v>0</v>
      </c>
    </row>
    <row r="55" spans="3:18" x14ac:dyDescent="0.3">
      <c r="D55" s="12" t="s">
        <v>27</v>
      </c>
      <c r="E55" s="13" t="e">
        <f t="shared" ref="E55:I56" si="2">HLOOKUP(E53,$E$22:$N$29,8,FALSE)</f>
        <v>#N/A</v>
      </c>
      <c r="F55" s="13" t="e">
        <f t="shared" si="2"/>
        <v>#N/A</v>
      </c>
      <c r="G55" s="13" t="e">
        <f t="shared" si="2"/>
        <v>#N/A</v>
      </c>
      <c r="H55" s="13" t="e">
        <f t="shared" si="2"/>
        <v>#N/A</v>
      </c>
      <c r="I55" s="13" t="e">
        <f t="shared" si="2"/>
        <v>#N/A</v>
      </c>
    </row>
    <row r="56" spans="3:18" x14ac:dyDescent="0.3">
      <c r="D56" s="12" t="s">
        <v>28</v>
      </c>
      <c r="E56" s="13" t="e">
        <f t="shared" si="2"/>
        <v>#N/A</v>
      </c>
      <c r="F56" s="13" t="e">
        <f t="shared" si="2"/>
        <v>#N/A</v>
      </c>
      <c r="G56" s="13" t="e">
        <f t="shared" si="2"/>
        <v>#N/A</v>
      </c>
      <c r="H56" s="13" t="e">
        <f t="shared" si="2"/>
        <v>#N/A</v>
      </c>
      <c r="I56" s="13" t="e">
        <f t="shared" si="2"/>
        <v>#N/A</v>
      </c>
    </row>
    <row r="57" spans="3:18" x14ac:dyDescent="0.3">
      <c r="D57" s="12" t="s">
        <v>29</v>
      </c>
      <c r="E57" s="13">
        <f>E35</f>
        <v>0</v>
      </c>
      <c r="F57" s="13">
        <f>F35</f>
        <v>0</v>
      </c>
      <c r="G57" s="13">
        <f>G35</f>
        <v>0</v>
      </c>
      <c r="H57" s="13">
        <f>H35</f>
        <v>0</v>
      </c>
      <c r="I57" s="13">
        <f>I35</f>
        <v>0</v>
      </c>
    </row>
    <row r="58" spans="3:18" x14ac:dyDescent="0.3">
      <c r="D58" s="10" t="s">
        <v>30</v>
      </c>
      <c r="E58" s="14" t="e">
        <f>(E57-E53)*(E56-E55)/(E54-E53)+E55</f>
        <v>#N/A</v>
      </c>
      <c r="F58" s="14" t="e">
        <f>(F57-F53)*(F56-F55)/(F54-F53)+F55</f>
        <v>#N/A</v>
      </c>
      <c r="G58" s="14" t="e">
        <f t="shared" ref="G58:I58" si="3">(G57-G53)*(G56-G55)/(G54-G53)+G55</f>
        <v>#N/A</v>
      </c>
      <c r="H58" s="14" t="e">
        <f t="shared" si="3"/>
        <v>#N/A</v>
      </c>
      <c r="I58" s="14" t="e">
        <f t="shared" si="3"/>
        <v>#N/A</v>
      </c>
    </row>
    <row r="59" spans="3:18" x14ac:dyDescent="0.3">
      <c r="D59" s="10" t="s">
        <v>17</v>
      </c>
      <c r="E59" s="11" t="e">
        <f>-E58</f>
        <v>#N/A</v>
      </c>
      <c r="F59" s="11" t="e">
        <f t="shared" ref="F59:I59" si="4">-F58</f>
        <v>#N/A</v>
      </c>
      <c r="G59" s="11" t="e">
        <f t="shared" si="4"/>
        <v>#N/A</v>
      </c>
      <c r="H59" s="11" t="e">
        <f t="shared" si="4"/>
        <v>#N/A</v>
      </c>
      <c r="I59" s="11" t="e">
        <f t="shared" si="4"/>
        <v>#N/A</v>
      </c>
    </row>
    <row r="60" spans="3:18" x14ac:dyDescent="0.3">
      <c r="C60" s="16"/>
      <c r="D60" s="3"/>
    </row>
    <row r="61" spans="3:18" x14ac:dyDescent="0.3">
      <c r="C61" s="16" t="s">
        <v>54</v>
      </c>
      <c r="D61" s="22" t="s">
        <v>61</v>
      </c>
    </row>
    <row r="62" spans="3:18" x14ac:dyDescent="0.3">
      <c r="C62" s="16"/>
      <c r="D62" s="4"/>
    </row>
    <row r="63" spans="3:18" x14ac:dyDescent="0.3">
      <c r="C63" s="16"/>
      <c r="D63" s="4"/>
    </row>
    <row r="64" spans="3:18" x14ac:dyDescent="0.3">
      <c r="D64" s="4"/>
      <c r="E64" s="8"/>
    </row>
    <row r="65" spans="3:16" x14ac:dyDescent="0.3">
      <c r="C65" s="16" t="s">
        <v>51</v>
      </c>
      <c r="D65" s="22" t="s">
        <v>52</v>
      </c>
    </row>
    <row r="66" spans="3:16" ht="15" thickBot="1" x14ac:dyDescent="0.35">
      <c r="C66" s="17"/>
      <c r="D66" s="3"/>
      <c r="E66" s="1" t="s">
        <v>53</v>
      </c>
    </row>
    <row r="67" spans="3:16" ht="15" thickBot="1" x14ac:dyDescent="0.35">
      <c r="C67" s="17"/>
      <c r="D67" s="2" t="s">
        <v>9</v>
      </c>
      <c r="E67" s="25"/>
    </row>
    <row r="69" spans="3:16" ht="15" thickBot="1" x14ac:dyDescent="0.35">
      <c r="C69" s="16" t="s">
        <v>38</v>
      </c>
      <c r="D69" s="3" t="s">
        <v>39</v>
      </c>
    </row>
    <row r="70" spans="3:16" ht="15" thickBot="1" x14ac:dyDescent="0.35">
      <c r="F70" s="1" t="s">
        <v>44</v>
      </c>
      <c r="H70" s="1" t="s">
        <v>2</v>
      </c>
      <c r="I70" s="45"/>
      <c r="J70" s="46"/>
      <c r="K70" s="46"/>
      <c r="L70" s="47"/>
      <c r="N70" s="8" t="s">
        <v>58</v>
      </c>
    </row>
    <row r="71" spans="3:16" ht="15" thickBot="1" x14ac:dyDescent="0.35">
      <c r="D71" s="4" t="s">
        <v>40</v>
      </c>
      <c r="F71" s="31" t="s">
        <v>13</v>
      </c>
      <c r="G71" s="31" t="s">
        <v>14</v>
      </c>
      <c r="H71" s="1" t="s">
        <v>15</v>
      </c>
      <c r="I71" s="1" t="s">
        <v>41</v>
      </c>
      <c r="J71" s="1" t="s">
        <v>16</v>
      </c>
      <c r="K71" s="1" t="s">
        <v>42</v>
      </c>
      <c r="L71" s="8" t="s">
        <v>43</v>
      </c>
      <c r="M71" s="44" t="s">
        <v>90</v>
      </c>
      <c r="N71" s="8" t="s">
        <v>59</v>
      </c>
      <c r="P71" s="1" t="s">
        <v>60</v>
      </c>
    </row>
    <row r="72" spans="3:16" ht="15" thickBot="1" x14ac:dyDescent="0.35">
      <c r="C72" s="1"/>
      <c r="D72" s="26"/>
      <c r="F72" s="27"/>
      <c r="G72" s="27"/>
      <c r="H72" s="27"/>
      <c r="I72" s="20" t="e">
        <f>AVERAGE(F72:H72)</f>
        <v>#DIV/0!</v>
      </c>
      <c r="J72" s="20" t="e">
        <f>I72-D72</f>
        <v>#DIV/0!</v>
      </c>
      <c r="K72" s="32"/>
      <c r="L72" s="8" t="e">
        <f>IF(ABS(J72)&lt;K72,"PASS","FAIL")</f>
        <v>#DIV/0!</v>
      </c>
      <c r="M72" s="44" t="e">
        <f>uncertainty!C34</f>
        <v>#DIV/0!</v>
      </c>
      <c r="N72" s="25"/>
      <c r="P72" s="34" t="e">
        <f>N72-I72</f>
        <v>#DIV/0!</v>
      </c>
    </row>
    <row r="73" spans="3:16" ht="15" thickBot="1" x14ac:dyDescent="0.35">
      <c r="D73" s="26"/>
      <c r="F73" s="27"/>
      <c r="G73" s="27"/>
      <c r="H73" s="27"/>
      <c r="I73" s="20" t="e">
        <f t="shared" ref="I73:I79" si="5">AVERAGE(F73:H73)</f>
        <v>#DIV/0!</v>
      </c>
      <c r="J73" s="20" t="e">
        <f t="shared" ref="J73:J79" si="6">I73-D73</f>
        <v>#DIV/0!</v>
      </c>
      <c r="K73" s="32"/>
      <c r="L73" s="8" t="e">
        <f t="shared" ref="L73:L79" si="7">IF(ABS(J73)&lt;K73,"PASS","FAIL")</f>
        <v>#DIV/0!</v>
      </c>
      <c r="M73" s="44" t="e">
        <f>uncertainty!D34</f>
        <v>#DIV/0!</v>
      </c>
      <c r="N73" s="25"/>
      <c r="P73" s="34" t="e">
        <f t="shared" ref="P73:P83" si="8">N73-I73</f>
        <v>#DIV/0!</v>
      </c>
    </row>
    <row r="74" spans="3:16" ht="15" thickBot="1" x14ac:dyDescent="0.35">
      <c r="D74" s="26"/>
      <c r="F74" s="27"/>
      <c r="G74" s="27"/>
      <c r="H74" s="27"/>
      <c r="I74" s="20" t="e">
        <f t="shared" si="5"/>
        <v>#DIV/0!</v>
      </c>
      <c r="J74" s="20" t="e">
        <f t="shared" si="6"/>
        <v>#DIV/0!</v>
      </c>
      <c r="K74" s="32"/>
      <c r="L74" s="8" t="e">
        <f t="shared" si="7"/>
        <v>#DIV/0!</v>
      </c>
      <c r="M74" s="44" t="e">
        <f>uncertainty!E34</f>
        <v>#DIV/0!</v>
      </c>
      <c r="N74" s="25"/>
      <c r="P74" s="34" t="e">
        <f t="shared" si="8"/>
        <v>#DIV/0!</v>
      </c>
    </row>
    <row r="75" spans="3:16" ht="15" thickBot="1" x14ac:dyDescent="0.35">
      <c r="D75" s="26"/>
      <c r="F75" s="27"/>
      <c r="G75" s="27"/>
      <c r="H75" s="27"/>
      <c r="I75" s="20" t="e">
        <f t="shared" si="5"/>
        <v>#DIV/0!</v>
      </c>
      <c r="J75" s="20" t="e">
        <f t="shared" si="6"/>
        <v>#DIV/0!</v>
      </c>
      <c r="K75" s="32"/>
      <c r="L75" s="8" t="e">
        <f t="shared" si="7"/>
        <v>#DIV/0!</v>
      </c>
      <c r="M75" s="44" t="e">
        <f>uncertainty!F34</f>
        <v>#DIV/0!</v>
      </c>
      <c r="N75" s="25"/>
      <c r="P75" s="34" t="e">
        <f t="shared" si="8"/>
        <v>#DIV/0!</v>
      </c>
    </row>
    <row r="76" spans="3:16" ht="15" thickBot="1" x14ac:dyDescent="0.35">
      <c r="D76" s="26"/>
      <c r="F76" s="27"/>
      <c r="G76" s="27"/>
      <c r="H76" s="27"/>
      <c r="I76" s="20" t="e">
        <f t="shared" si="5"/>
        <v>#DIV/0!</v>
      </c>
      <c r="J76" s="20" t="e">
        <f t="shared" si="6"/>
        <v>#DIV/0!</v>
      </c>
      <c r="K76" s="32"/>
      <c r="L76" s="8" t="e">
        <f t="shared" si="7"/>
        <v>#DIV/0!</v>
      </c>
      <c r="M76" s="44" t="e">
        <f>uncertainty!G34</f>
        <v>#DIV/0!</v>
      </c>
      <c r="N76" s="25"/>
      <c r="P76" s="34" t="e">
        <f t="shared" si="8"/>
        <v>#DIV/0!</v>
      </c>
    </row>
    <row r="77" spans="3:16" ht="15" thickBot="1" x14ac:dyDescent="0.35">
      <c r="D77" s="26"/>
      <c r="F77" s="27"/>
      <c r="G77" s="27"/>
      <c r="H77" s="27"/>
      <c r="I77" s="20" t="e">
        <f t="shared" si="5"/>
        <v>#DIV/0!</v>
      </c>
      <c r="J77" s="20" t="e">
        <f t="shared" si="6"/>
        <v>#DIV/0!</v>
      </c>
      <c r="K77" s="32"/>
      <c r="L77" s="8" t="e">
        <f t="shared" si="7"/>
        <v>#DIV/0!</v>
      </c>
      <c r="M77" s="44" t="e">
        <f>uncertainty!H34</f>
        <v>#DIV/0!</v>
      </c>
      <c r="N77" s="25"/>
      <c r="P77" s="34" t="e">
        <f t="shared" si="8"/>
        <v>#DIV/0!</v>
      </c>
    </row>
    <row r="78" spans="3:16" ht="15" thickBot="1" x14ac:dyDescent="0.35">
      <c r="D78" s="26"/>
      <c r="F78" s="27"/>
      <c r="G78" s="27"/>
      <c r="H78" s="27"/>
      <c r="I78" s="20" t="e">
        <f t="shared" si="5"/>
        <v>#DIV/0!</v>
      </c>
      <c r="J78" s="20" t="e">
        <f t="shared" si="6"/>
        <v>#DIV/0!</v>
      </c>
      <c r="K78" s="32"/>
      <c r="L78" s="8" t="e">
        <f t="shared" si="7"/>
        <v>#DIV/0!</v>
      </c>
      <c r="M78" s="44" t="e">
        <f>uncertainty!I34</f>
        <v>#DIV/0!</v>
      </c>
      <c r="N78" s="25"/>
      <c r="P78" s="34" t="e">
        <f t="shared" si="8"/>
        <v>#DIV/0!</v>
      </c>
    </row>
    <row r="79" spans="3:16" ht="15" thickBot="1" x14ac:dyDescent="0.35">
      <c r="D79" s="26"/>
      <c r="F79" s="27"/>
      <c r="G79" s="27"/>
      <c r="H79" s="27"/>
      <c r="I79" s="20" t="e">
        <f t="shared" si="5"/>
        <v>#DIV/0!</v>
      </c>
      <c r="J79" s="20" t="e">
        <f t="shared" si="6"/>
        <v>#DIV/0!</v>
      </c>
      <c r="K79" s="32"/>
      <c r="L79" s="8" t="e">
        <f t="shared" si="7"/>
        <v>#DIV/0!</v>
      </c>
      <c r="M79" s="44" t="e">
        <f>uncertainty!J34</f>
        <v>#DIV/0!</v>
      </c>
      <c r="N79" s="25"/>
      <c r="P79" s="34" t="e">
        <f t="shared" si="8"/>
        <v>#DIV/0!</v>
      </c>
    </row>
    <row r="80" spans="3:16" ht="15" thickBot="1" x14ac:dyDescent="0.35">
      <c r="D80" s="26"/>
      <c r="F80" s="27"/>
      <c r="G80" s="27"/>
      <c r="H80" s="27"/>
      <c r="I80" s="20" t="e">
        <f t="shared" ref="I80:I83" si="9">AVERAGE(F80:H80)</f>
        <v>#DIV/0!</v>
      </c>
      <c r="J80" s="20" t="e">
        <f t="shared" ref="J80:J83" si="10">I80-D80</f>
        <v>#DIV/0!</v>
      </c>
      <c r="K80" s="32"/>
      <c r="L80" s="8" t="e">
        <f t="shared" ref="L80:L83" si="11">IF(ABS(J80)&lt;K80,"PASS","FAIL")</f>
        <v>#DIV/0!</v>
      </c>
      <c r="M80" s="44" t="e">
        <f>uncertainty!K34</f>
        <v>#DIV/0!</v>
      </c>
      <c r="N80" s="25"/>
      <c r="P80" s="34" t="e">
        <f t="shared" si="8"/>
        <v>#DIV/0!</v>
      </c>
    </row>
    <row r="81" spans="4:16" ht="15" thickBot="1" x14ac:dyDescent="0.35">
      <c r="D81" s="26"/>
      <c r="F81" s="27"/>
      <c r="G81" s="27"/>
      <c r="H81" s="27"/>
      <c r="I81" s="20" t="e">
        <f t="shared" si="9"/>
        <v>#DIV/0!</v>
      </c>
      <c r="J81" s="20" t="e">
        <f t="shared" si="10"/>
        <v>#DIV/0!</v>
      </c>
      <c r="K81" s="32"/>
      <c r="L81" s="8" t="e">
        <f t="shared" si="11"/>
        <v>#DIV/0!</v>
      </c>
      <c r="M81" s="44" t="e">
        <f>uncertainty!L34</f>
        <v>#DIV/0!</v>
      </c>
      <c r="N81" s="25"/>
      <c r="P81" s="34" t="e">
        <f t="shared" si="8"/>
        <v>#DIV/0!</v>
      </c>
    </row>
    <row r="82" spans="4:16" ht="15" thickBot="1" x14ac:dyDescent="0.35">
      <c r="D82" s="26"/>
      <c r="F82" s="27"/>
      <c r="G82" s="27"/>
      <c r="H82" s="27"/>
      <c r="I82" s="20" t="e">
        <f t="shared" si="9"/>
        <v>#DIV/0!</v>
      </c>
      <c r="J82" s="20" t="e">
        <f t="shared" si="10"/>
        <v>#DIV/0!</v>
      </c>
      <c r="K82" s="32"/>
      <c r="L82" s="8" t="e">
        <f t="shared" si="11"/>
        <v>#DIV/0!</v>
      </c>
      <c r="M82" s="44" t="e">
        <f>uncertainty!M34</f>
        <v>#DIV/0!</v>
      </c>
      <c r="N82" s="25"/>
      <c r="P82" s="34" t="e">
        <f t="shared" si="8"/>
        <v>#DIV/0!</v>
      </c>
    </row>
    <row r="83" spans="4:16" ht="15" thickBot="1" x14ac:dyDescent="0.35">
      <c r="D83" s="26"/>
      <c r="F83" s="27"/>
      <c r="G83" s="27"/>
      <c r="H83" s="27"/>
      <c r="I83" s="20" t="e">
        <f t="shared" si="9"/>
        <v>#DIV/0!</v>
      </c>
      <c r="J83" s="20" t="e">
        <f t="shared" si="10"/>
        <v>#DIV/0!</v>
      </c>
      <c r="K83" s="32"/>
      <c r="L83" s="8" t="e">
        <f t="shared" si="11"/>
        <v>#DIV/0!</v>
      </c>
      <c r="M83" s="44" t="e">
        <f>uncertainty!N34</f>
        <v>#DIV/0!</v>
      </c>
      <c r="N83" s="25"/>
      <c r="P83" s="34" t="e">
        <f t="shared" si="8"/>
        <v>#DIV/0!</v>
      </c>
    </row>
    <row r="88" spans="4:16" x14ac:dyDescent="0.3">
      <c r="D88" s="4" t="s">
        <v>66</v>
      </c>
      <c r="E88" s="35"/>
    </row>
  </sheetData>
  <sheetProtection algorithmName="SHA-512" hashValue="z1e60wQnv/NWQ5u2Nn0OueN1gBP4n1cpl9UA6mG6cFKght8D0Qadd9SLVrXgf0v6WqZIJX9ftPqGDJLMhU76Ew==" saltValue="/gXcokscFD3ibl9a9Mc/3g==" spinCount="100000" sheet="1" selectLockedCells="1"/>
  <mergeCells count="6">
    <mergeCell ref="E10:H10"/>
    <mergeCell ref="I70:L70"/>
    <mergeCell ref="E2:F2"/>
    <mergeCell ref="E3:F3"/>
    <mergeCell ref="E15:H15"/>
    <mergeCell ref="E4:F4"/>
  </mergeCells>
  <phoneticPr fontId="5" type="noConversion"/>
  <conditionalFormatting sqref="E33:N33">
    <cfRule type="cellIs" dxfId="1" priority="1" operator="lessThan">
      <formula>$J$31-0.9</formula>
    </cfRule>
    <cfRule type="cellIs" dxfId="0" priority="2" operator="greaterThan">
      <formula>$J$31+0.9</formula>
    </cfRule>
  </conditionalFormatting>
  <pageMargins left="0.7" right="0.7" top="0.75" bottom="0.75" header="0.3" footer="0.3"/>
  <pageSetup scale="51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4</xdr:col>
                    <xdr:colOff>190500</xdr:colOff>
                    <xdr:row>44</xdr:row>
                    <xdr:rowOff>160020</xdr:rowOff>
                  </from>
                  <to>
                    <xdr:col>4</xdr:col>
                    <xdr:colOff>487680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5</xdr:col>
                    <xdr:colOff>190500</xdr:colOff>
                    <xdr:row>44</xdr:row>
                    <xdr:rowOff>167640</xdr:rowOff>
                  </from>
                  <to>
                    <xdr:col>5</xdr:col>
                    <xdr:colOff>487680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6</xdr:col>
                    <xdr:colOff>198120</xdr:colOff>
                    <xdr:row>44</xdr:row>
                    <xdr:rowOff>167640</xdr:rowOff>
                  </from>
                  <to>
                    <xdr:col>6</xdr:col>
                    <xdr:colOff>495300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190500</xdr:colOff>
                    <xdr:row>44</xdr:row>
                    <xdr:rowOff>167640</xdr:rowOff>
                  </from>
                  <to>
                    <xdr:col>7</xdr:col>
                    <xdr:colOff>487680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8</xdr:col>
                    <xdr:colOff>205740</xdr:colOff>
                    <xdr:row>44</xdr:row>
                    <xdr:rowOff>167640</xdr:rowOff>
                  </from>
                  <to>
                    <xdr:col>8</xdr:col>
                    <xdr:colOff>502920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297180</xdr:colOff>
                    <xdr:row>7</xdr:row>
                    <xdr:rowOff>114300</xdr:rowOff>
                  </from>
                  <to>
                    <xdr:col>2</xdr:col>
                    <xdr:colOff>579120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297180</xdr:colOff>
                    <xdr:row>6</xdr:row>
                    <xdr:rowOff>106680</xdr:rowOff>
                  </from>
                  <to>
                    <xdr:col>2</xdr:col>
                    <xdr:colOff>579120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F3612-D9B5-42B7-8F69-249D0F0F1B0E}">
  <dimension ref="B2:P43"/>
  <sheetViews>
    <sheetView workbookViewId="0">
      <selection activeCell="B4" sqref="B4"/>
    </sheetView>
  </sheetViews>
  <sheetFormatPr defaultRowHeight="14.4" x14ac:dyDescent="0.3"/>
  <sheetData>
    <row r="2" spans="2:5" x14ac:dyDescent="0.3">
      <c r="B2" t="s">
        <v>81</v>
      </c>
    </row>
    <row r="3" spans="2:5" x14ac:dyDescent="0.3">
      <c r="B3" s="42" t="s">
        <v>91</v>
      </c>
      <c r="C3" s="42" t="s">
        <v>92</v>
      </c>
      <c r="D3" s="42" t="s">
        <v>79</v>
      </c>
      <c r="E3" s="42" t="s">
        <v>80</v>
      </c>
    </row>
    <row r="4" spans="2:5" x14ac:dyDescent="0.3">
      <c r="B4" s="42" t="s">
        <v>77</v>
      </c>
      <c r="C4" s="42"/>
      <c r="D4" s="42"/>
      <c r="E4" s="42"/>
    </row>
    <row r="5" spans="2:5" x14ac:dyDescent="0.3">
      <c r="B5" s="42">
        <v>13</v>
      </c>
      <c r="C5" s="42"/>
      <c r="D5" s="42"/>
      <c r="E5" s="42">
        <v>0.09</v>
      </c>
    </row>
    <row r="6" spans="2:5" x14ac:dyDescent="0.3">
      <c r="B6" s="42">
        <v>13</v>
      </c>
      <c r="C6" s="42">
        <v>62</v>
      </c>
      <c r="D6" s="42">
        <v>4.0000000000000001E-3</v>
      </c>
      <c r="E6" s="42">
        <v>0.04</v>
      </c>
    </row>
    <row r="7" spans="2:5" x14ac:dyDescent="0.3">
      <c r="B7" s="42">
        <v>62</v>
      </c>
      <c r="C7" s="42"/>
      <c r="D7" s="42">
        <v>3.5000000000000001E-3</v>
      </c>
      <c r="E7" s="42">
        <v>7.0000000000000007E-2</v>
      </c>
    </row>
    <row r="8" spans="2:5" x14ac:dyDescent="0.3">
      <c r="B8" s="42" t="s">
        <v>78</v>
      </c>
      <c r="C8" s="42"/>
      <c r="D8" s="42"/>
      <c r="E8" s="42"/>
    </row>
    <row r="9" spans="2:5" x14ac:dyDescent="0.3">
      <c r="B9" s="42">
        <v>16</v>
      </c>
      <c r="C9" s="42"/>
      <c r="D9" s="42"/>
      <c r="E9" s="42">
        <v>0.1</v>
      </c>
    </row>
    <row r="10" spans="2:5" x14ac:dyDescent="0.3">
      <c r="B10" s="42">
        <v>16</v>
      </c>
      <c r="C10" s="42">
        <v>62</v>
      </c>
      <c r="D10" s="42">
        <v>4.0000000000000001E-3</v>
      </c>
      <c r="E10" s="42">
        <v>0.04</v>
      </c>
    </row>
    <row r="11" spans="2:5" x14ac:dyDescent="0.3">
      <c r="B11" s="42">
        <v>62</v>
      </c>
      <c r="C11" s="42"/>
      <c r="D11" s="42"/>
      <c r="E11" s="42">
        <v>0.5</v>
      </c>
    </row>
    <row r="15" spans="2:5" x14ac:dyDescent="0.3">
      <c r="B15" t="s">
        <v>82</v>
      </c>
    </row>
    <row r="18" spans="2:16" x14ac:dyDescent="0.3">
      <c r="B18" t="s">
        <v>77</v>
      </c>
    </row>
    <row r="20" spans="2:16" x14ac:dyDescent="0.3">
      <c r="B20" t="s">
        <v>83</v>
      </c>
      <c r="C20" s="43">
        <v>12</v>
      </c>
      <c r="D20" s="43" t="e">
        <f>Worksheet!F42</f>
        <v>#DIV/0!</v>
      </c>
      <c r="E20" s="43" t="e">
        <f>Worksheet!G42</f>
        <v>#DIV/0!</v>
      </c>
      <c r="F20" s="43" t="e">
        <f>Worksheet!H42</f>
        <v>#DIV/0!</v>
      </c>
      <c r="G20" s="43" t="e">
        <f>Worksheet!I42</f>
        <v>#DIV/0!</v>
      </c>
      <c r="H20" s="43" t="e">
        <f>Worksheet!J42</f>
        <v>#DIV/0!</v>
      </c>
      <c r="I20" s="43" t="e">
        <f>Worksheet!K42</f>
        <v>#DIV/0!</v>
      </c>
      <c r="J20" s="43" t="e">
        <f>Worksheet!L42</f>
        <v>#DIV/0!</v>
      </c>
      <c r="K20" s="43" t="e">
        <f>Worksheet!M42</f>
        <v>#DIV/0!</v>
      </c>
      <c r="L20" s="43" t="e">
        <f>Worksheet!N42</f>
        <v>#DIV/0!</v>
      </c>
      <c r="M20" s="43"/>
      <c r="N20" s="43"/>
      <c r="O20" s="43"/>
      <c r="P20" s="43"/>
    </row>
    <row r="21" spans="2:16" x14ac:dyDescent="0.3">
      <c r="B21" t="s">
        <v>84</v>
      </c>
    </row>
    <row r="22" spans="2:16" x14ac:dyDescent="0.3">
      <c r="B22" t="s">
        <v>85</v>
      </c>
      <c r="C22">
        <f>$E$5</f>
        <v>0.09</v>
      </c>
      <c r="D22">
        <f t="shared" ref="D22:L22" si="0">$E$5</f>
        <v>0.09</v>
      </c>
      <c r="E22">
        <f t="shared" si="0"/>
        <v>0.09</v>
      </c>
      <c r="F22">
        <f t="shared" si="0"/>
        <v>0.09</v>
      </c>
      <c r="G22">
        <f t="shared" si="0"/>
        <v>0.09</v>
      </c>
      <c r="H22">
        <f t="shared" si="0"/>
        <v>0.09</v>
      </c>
      <c r="I22">
        <f t="shared" si="0"/>
        <v>0.09</v>
      </c>
      <c r="J22">
        <f t="shared" si="0"/>
        <v>0.09</v>
      </c>
      <c r="K22">
        <f t="shared" si="0"/>
        <v>0.09</v>
      </c>
      <c r="L22">
        <f t="shared" si="0"/>
        <v>0.09</v>
      </c>
    </row>
    <row r="23" spans="2:16" x14ac:dyDescent="0.3">
      <c r="B23" t="s">
        <v>87</v>
      </c>
      <c r="C23">
        <f>(C20*$D$6)+$E$6</f>
        <v>8.7999999999999995E-2</v>
      </c>
      <c r="D23" t="e">
        <f t="shared" ref="D23:L23" si="1">(D20*$D$6)+$E$6</f>
        <v>#DIV/0!</v>
      </c>
      <c r="E23" t="e">
        <f t="shared" si="1"/>
        <v>#DIV/0!</v>
      </c>
      <c r="F23" t="e">
        <f t="shared" si="1"/>
        <v>#DIV/0!</v>
      </c>
      <c r="G23" t="e">
        <f t="shared" si="1"/>
        <v>#DIV/0!</v>
      </c>
      <c r="H23" t="e">
        <f t="shared" si="1"/>
        <v>#DIV/0!</v>
      </c>
      <c r="I23" t="e">
        <f t="shared" si="1"/>
        <v>#DIV/0!</v>
      </c>
      <c r="J23" t="e">
        <f t="shared" si="1"/>
        <v>#DIV/0!</v>
      </c>
      <c r="K23" t="e">
        <f t="shared" si="1"/>
        <v>#DIV/0!</v>
      </c>
      <c r="L23" t="e">
        <f t="shared" si="1"/>
        <v>#DIV/0!</v>
      </c>
    </row>
    <row r="24" spans="2:16" x14ac:dyDescent="0.3">
      <c r="B24" t="s">
        <v>86</v>
      </c>
      <c r="C24">
        <f>(C20*$D$7)+$E$7</f>
        <v>0.11200000000000002</v>
      </c>
      <c r="D24" t="e">
        <f t="shared" ref="D24:L24" si="2">(D20*$D$7)+$E$7</f>
        <v>#DIV/0!</v>
      </c>
      <c r="E24" t="e">
        <f t="shared" si="2"/>
        <v>#DIV/0!</v>
      </c>
      <c r="F24" t="e">
        <f t="shared" si="2"/>
        <v>#DIV/0!</v>
      </c>
      <c r="G24" t="e">
        <f t="shared" si="2"/>
        <v>#DIV/0!</v>
      </c>
      <c r="H24" t="e">
        <f t="shared" si="2"/>
        <v>#DIV/0!</v>
      </c>
      <c r="I24" t="e">
        <f t="shared" si="2"/>
        <v>#DIV/0!</v>
      </c>
      <c r="J24" t="e">
        <f t="shared" si="2"/>
        <v>#DIV/0!</v>
      </c>
      <c r="K24" t="e">
        <f t="shared" si="2"/>
        <v>#DIV/0!</v>
      </c>
      <c r="L24" t="e">
        <f t="shared" si="2"/>
        <v>#DIV/0!</v>
      </c>
    </row>
    <row r="25" spans="2:16" x14ac:dyDescent="0.3">
      <c r="B25" t="s">
        <v>88</v>
      </c>
      <c r="C25">
        <f>IF(C20&lt;$B$5,C22,IF(AND(C20&gt;=$B$6,C20&lt;$C$6),C23,C24))</f>
        <v>0.09</v>
      </c>
      <c r="D25" t="e">
        <f t="shared" ref="D25:L25" si="3">IF(D20&lt;13,D22,IF(AND(D20&gt;=13,D20&lt;62),D23,D24))</f>
        <v>#DIV/0!</v>
      </c>
      <c r="E25" t="e">
        <f t="shared" si="3"/>
        <v>#DIV/0!</v>
      </c>
      <c r="F25" t="e">
        <f t="shared" si="3"/>
        <v>#DIV/0!</v>
      </c>
      <c r="G25" t="e">
        <f t="shared" si="3"/>
        <v>#DIV/0!</v>
      </c>
      <c r="H25" t="e">
        <f t="shared" si="3"/>
        <v>#DIV/0!</v>
      </c>
      <c r="I25" t="e">
        <f t="shared" si="3"/>
        <v>#DIV/0!</v>
      </c>
      <c r="J25" t="e">
        <f t="shared" si="3"/>
        <v>#DIV/0!</v>
      </c>
      <c r="K25" t="e">
        <f t="shared" si="3"/>
        <v>#DIV/0!</v>
      </c>
      <c r="L25" t="e">
        <f t="shared" si="3"/>
        <v>#DIV/0!</v>
      </c>
    </row>
    <row r="28" spans="2:16" x14ac:dyDescent="0.3">
      <c r="B28" t="s">
        <v>78</v>
      </c>
    </row>
    <row r="29" spans="2:16" x14ac:dyDescent="0.3">
      <c r="B29" t="s">
        <v>83</v>
      </c>
      <c r="C29" s="43" t="e">
        <f>Worksheet!I72</f>
        <v>#DIV/0!</v>
      </c>
      <c r="D29" s="43" t="e">
        <f>Worksheet!I73</f>
        <v>#DIV/0!</v>
      </c>
      <c r="E29" s="43" t="e">
        <f>Worksheet!I74</f>
        <v>#DIV/0!</v>
      </c>
      <c r="F29" s="43" t="e">
        <f>Worksheet!I75</f>
        <v>#DIV/0!</v>
      </c>
      <c r="G29" s="43" t="e">
        <f>Worksheet!I76</f>
        <v>#DIV/0!</v>
      </c>
      <c r="H29" s="43" t="e">
        <f>Worksheet!I77</f>
        <v>#DIV/0!</v>
      </c>
      <c r="I29" s="43" t="e">
        <f>Worksheet!I78</f>
        <v>#DIV/0!</v>
      </c>
      <c r="J29" s="43" t="e">
        <f>Worksheet!I79</f>
        <v>#DIV/0!</v>
      </c>
      <c r="K29" s="43" t="e">
        <f>Worksheet!I80</f>
        <v>#DIV/0!</v>
      </c>
      <c r="L29" s="43" t="e">
        <f>Worksheet!I81</f>
        <v>#DIV/0!</v>
      </c>
      <c r="M29" s="43" t="e">
        <f>Worksheet!I82</f>
        <v>#DIV/0!</v>
      </c>
      <c r="N29" s="43" t="e">
        <f>Worksheet!I83</f>
        <v>#DIV/0!</v>
      </c>
      <c r="O29" s="43"/>
    </row>
    <row r="31" spans="2:16" x14ac:dyDescent="0.3">
      <c r="B31" t="s">
        <v>85</v>
      </c>
      <c r="C31">
        <f>$E$9</f>
        <v>0.1</v>
      </c>
      <c r="D31">
        <f t="shared" ref="D31:N31" si="4">$E$9</f>
        <v>0.1</v>
      </c>
      <c r="E31">
        <f t="shared" si="4"/>
        <v>0.1</v>
      </c>
      <c r="F31">
        <f t="shared" si="4"/>
        <v>0.1</v>
      </c>
      <c r="G31">
        <f t="shared" si="4"/>
        <v>0.1</v>
      </c>
      <c r="H31">
        <f t="shared" si="4"/>
        <v>0.1</v>
      </c>
      <c r="I31">
        <f t="shared" si="4"/>
        <v>0.1</v>
      </c>
      <c r="J31">
        <f t="shared" si="4"/>
        <v>0.1</v>
      </c>
      <c r="K31">
        <f t="shared" si="4"/>
        <v>0.1</v>
      </c>
      <c r="L31">
        <f t="shared" si="4"/>
        <v>0.1</v>
      </c>
      <c r="M31">
        <f t="shared" si="4"/>
        <v>0.1</v>
      </c>
      <c r="N31">
        <f t="shared" si="4"/>
        <v>0.1</v>
      </c>
    </row>
    <row r="32" spans="2:16" x14ac:dyDescent="0.3">
      <c r="B32" t="s">
        <v>87</v>
      </c>
      <c r="C32" t="e">
        <f>(C29*$D$10)+$E$10</f>
        <v>#DIV/0!</v>
      </c>
      <c r="D32" t="e">
        <f t="shared" ref="D32:N32" si="5">(D29*$D$10)+$E$10</f>
        <v>#DIV/0!</v>
      </c>
      <c r="E32" t="e">
        <f t="shared" si="5"/>
        <v>#DIV/0!</v>
      </c>
      <c r="F32" t="e">
        <f t="shared" si="5"/>
        <v>#DIV/0!</v>
      </c>
      <c r="G32" t="e">
        <f t="shared" si="5"/>
        <v>#DIV/0!</v>
      </c>
      <c r="H32" t="e">
        <f t="shared" si="5"/>
        <v>#DIV/0!</v>
      </c>
      <c r="I32" t="e">
        <f t="shared" si="5"/>
        <v>#DIV/0!</v>
      </c>
      <c r="J32" t="e">
        <f t="shared" si="5"/>
        <v>#DIV/0!</v>
      </c>
      <c r="K32" t="e">
        <f t="shared" si="5"/>
        <v>#DIV/0!</v>
      </c>
      <c r="L32" t="e">
        <f t="shared" si="5"/>
        <v>#DIV/0!</v>
      </c>
      <c r="M32" t="e">
        <f t="shared" si="5"/>
        <v>#DIV/0!</v>
      </c>
      <c r="N32" t="e">
        <f t="shared" si="5"/>
        <v>#DIV/0!</v>
      </c>
    </row>
    <row r="33" spans="2:14" x14ac:dyDescent="0.3">
      <c r="B33" t="s">
        <v>86</v>
      </c>
      <c r="C33">
        <f>$E$11</f>
        <v>0.5</v>
      </c>
      <c r="D33">
        <f t="shared" ref="D33:N33" si="6">$E$11</f>
        <v>0.5</v>
      </c>
      <c r="E33">
        <f t="shared" si="6"/>
        <v>0.5</v>
      </c>
      <c r="F33">
        <f t="shared" si="6"/>
        <v>0.5</v>
      </c>
      <c r="G33">
        <f t="shared" si="6"/>
        <v>0.5</v>
      </c>
      <c r="H33">
        <f t="shared" si="6"/>
        <v>0.5</v>
      </c>
      <c r="I33">
        <f t="shared" si="6"/>
        <v>0.5</v>
      </c>
      <c r="J33">
        <f t="shared" si="6"/>
        <v>0.5</v>
      </c>
      <c r="K33">
        <f t="shared" si="6"/>
        <v>0.5</v>
      </c>
      <c r="L33">
        <f t="shared" si="6"/>
        <v>0.5</v>
      </c>
      <c r="M33">
        <f t="shared" si="6"/>
        <v>0.5</v>
      </c>
      <c r="N33">
        <f t="shared" si="6"/>
        <v>0.5</v>
      </c>
    </row>
    <row r="34" spans="2:14" x14ac:dyDescent="0.3">
      <c r="B34" t="s">
        <v>89</v>
      </c>
      <c r="C34" t="e">
        <f>IF(C29&lt;$B$9,C31,IF(AND(C20&gt;=$B$10,C20&lt;$C$10),C32,C33))</f>
        <v>#DIV/0!</v>
      </c>
      <c r="D34" t="e">
        <f t="shared" ref="D34:N34" si="7">IF(D29&lt;$B$9,D31,IF(AND(D20&gt;=$B$10,D20&lt;$C$10),D32,D33))</f>
        <v>#DIV/0!</v>
      </c>
      <c r="E34" t="e">
        <f t="shared" si="7"/>
        <v>#DIV/0!</v>
      </c>
      <c r="F34" t="e">
        <f t="shared" si="7"/>
        <v>#DIV/0!</v>
      </c>
      <c r="G34" t="e">
        <f t="shared" si="7"/>
        <v>#DIV/0!</v>
      </c>
      <c r="H34" t="e">
        <f t="shared" si="7"/>
        <v>#DIV/0!</v>
      </c>
      <c r="I34" t="e">
        <f t="shared" si="7"/>
        <v>#DIV/0!</v>
      </c>
      <c r="J34" t="e">
        <f t="shared" si="7"/>
        <v>#DIV/0!</v>
      </c>
      <c r="K34" t="e">
        <f t="shared" si="7"/>
        <v>#DIV/0!</v>
      </c>
      <c r="L34" t="e">
        <f t="shared" si="7"/>
        <v>#DIV/0!</v>
      </c>
      <c r="M34" t="e">
        <f t="shared" si="7"/>
        <v>#DIV/0!</v>
      </c>
      <c r="N34" t="e">
        <f t="shared" si="7"/>
        <v>#DIV/0!</v>
      </c>
    </row>
    <row r="41" spans="2:14" x14ac:dyDescent="0.3">
      <c r="C41" s="43"/>
    </row>
    <row r="42" spans="2:14" x14ac:dyDescent="0.3">
      <c r="C42" s="43"/>
    </row>
    <row r="43" spans="2:14" x14ac:dyDescent="0.3">
      <c r="C43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6D815-B483-4A35-A01B-C441886B5ACB}">
  <dimension ref="A1:B7"/>
  <sheetViews>
    <sheetView workbookViewId="0">
      <selection activeCell="B8" sqref="B8"/>
    </sheetView>
  </sheetViews>
  <sheetFormatPr defaultRowHeight="14.4" x14ac:dyDescent="0.3"/>
  <cols>
    <col min="1" max="1" width="20.6640625" style="21" customWidth="1"/>
    <col min="2" max="2" width="116.109375" customWidth="1"/>
  </cols>
  <sheetData>
    <row r="1" spans="1:2" x14ac:dyDescent="0.3">
      <c r="A1" s="21" t="s">
        <v>45</v>
      </c>
      <c r="B1" t="s">
        <v>46</v>
      </c>
    </row>
    <row r="2" spans="1:2" x14ac:dyDescent="0.3">
      <c r="A2" s="21">
        <v>45737</v>
      </c>
      <c r="B2" t="s">
        <v>47</v>
      </c>
    </row>
    <row r="3" spans="1:2" x14ac:dyDescent="0.3">
      <c r="A3" s="21">
        <v>45811</v>
      </c>
      <c r="B3" t="s">
        <v>56</v>
      </c>
    </row>
    <row r="4" spans="1:2" x14ac:dyDescent="0.3">
      <c r="A4" s="21">
        <v>45870</v>
      </c>
      <c r="B4" t="s">
        <v>63</v>
      </c>
    </row>
    <row r="5" spans="1:2" x14ac:dyDescent="0.3">
      <c r="A5" s="21">
        <v>45876</v>
      </c>
      <c r="B5" t="s">
        <v>65</v>
      </c>
    </row>
    <row r="6" spans="1:2" x14ac:dyDescent="0.3">
      <c r="A6" s="21">
        <v>45887</v>
      </c>
      <c r="B6" t="s">
        <v>74</v>
      </c>
    </row>
    <row r="7" spans="1:2" x14ac:dyDescent="0.3">
      <c r="A7" s="21">
        <v>45977</v>
      </c>
      <c r="B7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uncertainty</vt:lpstr>
      <vt:lpstr>Software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Vogt</dc:creator>
  <cp:lastModifiedBy>Johnny Vogt</cp:lastModifiedBy>
  <cp:lastPrinted>2025-03-21T21:54:52Z</cp:lastPrinted>
  <dcterms:created xsi:type="dcterms:W3CDTF">2025-03-21T01:45:19Z</dcterms:created>
  <dcterms:modified xsi:type="dcterms:W3CDTF">2025-11-17T21:38:54Z</dcterms:modified>
</cp:coreProperties>
</file>